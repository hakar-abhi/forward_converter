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hakar\ipsa\matlab\"/>
    </mc:Choice>
  </mc:AlternateContent>
  <bookViews>
    <workbookView xWindow="0" yWindow="0" windowWidth="17256" windowHeight="5196"/>
  </bookViews>
  <sheets>
    <sheet name="Sheet1" sheetId="1" r:id="rId1"/>
  </sheets>
  <definedNames>
    <definedName name="C_">Sheet1!$H$16</definedName>
    <definedName name="Dmin1">Sheet1!$H$13</definedName>
    <definedName name="fs">Sheet1!$C$9</definedName>
    <definedName name="L">Sheet1!$H$15</definedName>
    <definedName name="n">Sheet1!$H$4</definedName>
    <definedName name="n2_n1">Sheet1!$H$4</definedName>
    <definedName name="n3_n1">Sheet1!$H$5</definedName>
    <definedName name="Ploadmax">Sheet1!$C$7</definedName>
    <definedName name="Ploadmin">Sheet1!$C$8</definedName>
    <definedName name="R_">Sheet1!$C$11</definedName>
    <definedName name="V">Sheet1!$C$6</definedName>
    <definedName name="Vgmax">Sheet1!$C$4</definedName>
    <definedName name="Vgmin">Sheet1!$C$5</definedName>
    <definedName name="Δi">Sheet1!$H$6</definedName>
    <definedName name="Δv">Sheet1!$C$10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5" i="1"/>
  <c r="H14" i="1" s="1"/>
  <c r="C11" i="1"/>
  <c r="H13" i="1"/>
  <c r="H12" i="1"/>
</calcChain>
</file>

<file path=xl/sharedStrings.xml><?xml version="1.0" encoding="utf-8"?>
<sst xmlns="http://schemas.openxmlformats.org/spreadsheetml/2006/main" count="81" uniqueCount="57">
  <si>
    <t>Design of Forward Converter</t>
  </si>
  <si>
    <t>Maximum Input Voltage</t>
  </si>
  <si>
    <t>Specification Variables</t>
  </si>
  <si>
    <t>Variable Names</t>
  </si>
  <si>
    <t>Symbol</t>
  </si>
  <si>
    <t>Value</t>
  </si>
  <si>
    <t>Unit</t>
  </si>
  <si>
    <t>V</t>
  </si>
  <si>
    <t>Minimum Input Voltage</t>
  </si>
  <si>
    <t>Output Voltage</t>
  </si>
  <si>
    <t>Maximum load Power</t>
  </si>
  <si>
    <t>W</t>
  </si>
  <si>
    <t>Minimum Load Power</t>
  </si>
  <si>
    <t>Switching Frequency</t>
  </si>
  <si>
    <t>Maximum Output Ripple</t>
  </si>
  <si>
    <t>Δv</t>
  </si>
  <si>
    <t>Design Variables</t>
  </si>
  <si>
    <t xml:space="preserve"> Variable Names</t>
  </si>
  <si>
    <t>Reset Winding Turn Ratio</t>
  </si>
  <si>
    <t>Turns Ratio</t>
  </si>
  <si>
    <t>Inductor Current Ripple</t>
  </si>
  <si>
    <t>Δi</t>
  </si>
  <si>
    <t>A</t>
  </si>
  <si>
    <t>Remarks</t>
  </si>
  <si>
    <t>chosen to limit duty cycle D to 0.5</t>
  </si>
  <si>
    <t xml:space="preserve"> Δi should be small enough for converter to operate in CCM at full load power / Δi determines if converter operates in CCM/DCM at minimum load</t>
  </si>
  <si>
    <t>Results</t>
  </si>
  <si>
    <t>Maximum Duty Cycle</t>
  </si>
  <si>
    <t>Inductance</t>
  </si>
  <si>
    <t>L</t>
  </si>
  <si>
    <t>Capacitance</t>
  </si>
  <si>
    <t>C</t>
  </si>
  <si>
    <t>Formulae for Results Calculation</t>
  </si>
  <si>
    <t>Formula</t>
  </si>
  <si>
    <t>Δi/(8*Δv*fs)</t>
  </si>
  <si>
    <r>
      <t>Minimum Duty Cycle at Pload</t>
    </r>
    <r>
      <rPr>
        <b/>
        <vertAlign val="subscript"/>
        <sz val="14"/>
        <color theme="1"/>
        <rFont val="Times New Roman"/>
        <family val="1"/>
      </rPr>
      <t>max</t>
    </r>
  </si>
  <si>
    <r>
      <t>Minimum Duty Cycle at Pload</t>
    </r>
    <r>
      <rPr>
        <b/>
        <vertAlign val="subscript"/>
        <sz val="14"/>
        <color theme="1"/>
        <rFont val="Times New Roman"/>
        <family val="1"/>
      </rPr>
      <t>min</t>
    </r>
  </si>
  <si>
    <r>
      <t>D</t>
    </r>
    <r>
      <rPr>
        <b/>
        <vertAlign val="subscript"/>
        <sz val="14"/>
        <color theme="1"/>
        <rFont val="Times New Roman"/>
        <family val="1"/>
      </rPr>
      <t>max</t>
    </r>
  </si>
  <si>
    <r>
      <t>D</t>
    </r>
    <r>
      <rPr>
        <b/>
        <vertAlign val="subscript"/>
        <sz val="14"/>
        <color theme="1"/>
        <rFont val="Times New Roman"/>
        <family val="1"/>
      </rPr>
      <t>min1</t>
    </r>
  </si>
  <si>
    <r>
      <t>D</t>
    </r>
    <r>
      <rPr>
        <b/>
        <vertAlign val="subscript"/>
        <sz val="14"/>
        <color theme="1"/>
        <rFont val="Times New Roman"/>
        <family val="1"/>
      </rPr>
      <t>min2</t>
    </r>
  </si>
  <si>
    <r>
      <t>Vg</t>
    </r>
    <r>
      <rPr>
        <b/>
        <vertAlign val="subscript"/>
        <sz val="14"/>
        <color theme="1"/>
        <rFont val="Times New Roman"/>
        <family val="1"/>
      </rPr>
      <t>max</t>
    </r>
  </si>
  <si>
    <r>
      <t>Vg</t>
    </r>
    <r>
      <rPr>
        <b/>
        <vertAlign val="subscript"/>
        <sz val="14"/>
        <color theme="1"/>
        <rFont val="Times New Roman"/>
        <family val="1"/>
      </rPr>
      <t>min</t>
    </r>
  </si>
  <si>
    <r>
      <t>Pload</t>
    </r>
    <r>
      <rPr>
        <b/>
        <vertAlign val="subscript"/>
        <sz val="14"/>
        <color theme="1"/>
        <rFont val="Times New Roman"/>
        <family val="1"/>
      </rPr>
      <t>max</t>
    </r>
  </si>
  <si>
    <r>
      <t>Pload</t>
    </r>
    <r>
      <rPr>
        <b/>
        <vertAlign val="subscript"/>
        <sz val="14"/>
        <color theme="1"/>
        <rFont val="Times New Roman"/>
        <family val="1"/>
      </rPr>
      <t>min</t>
    </r>
  </si>
  <si>
    <r>
      <t>f</t>
    </r>
    <r>
      <rPr>
        <b/>
        <vertAlign val="subscript"/>
        <sz val="14"/>
        <color theme="1"/>
        <rFont val="Times New Roman"/>
        <family val="1"/>
      </rPr>
      <t>s</t>
    </r>
  </si>
  <si>
    <r>
      <t>n</t>
    </r>
    <r>
      <rPr>
        <b/>
        <vertAlign val="subscript"/>
        <sz val="14"/>
        <color theme="1"/>
        <rFont val="Times New Roman"/>
        <family val="1"/>
      </rPr>
      <t>2</t>
    </r>
    <r>
      <rPr>
        <b/>
        <sz val="14"/>
        <color theme="1"/>
        <rFont val="Times New Roman"/>
        <family val="1"/>
      </rPr>
      <t>/n</t>
    </r>
    <r>
      <rPr>
        <b/>
        <vertAlign val="subscript"/>
        <sz val="14"/>
        <color theme="1"/>
        <rFont val="Times New Roman"/>
        <family val="1"/>
      </rPr>
      <t>1</t>
    </r>
  </si>
  <si>
    <r>
      <t>n</t>
    </r>
    <r>
      <rPr>
        <b/>
        <vertAlign val="subscript"/>
        <sz val="14"/>
        <color theme="1"/>
        <rFont val="Times New Roman"/>
        <family val="1"/>
      </rPr>
      <t>3</t>
    </r>
    <r>
      <rPr>
        <b/>
        <sz val="14"/>
        <color theme="1"/>
        <rFont val="Times New Roman"/>
        <family val="1"/>
      </rPr>
      <t>/n</t>
    </r>
    <r>
      <rPr>
        <b/>
        <vertAlign val="subscript"/>
        <sz val="14"/>
        <color theme="1"/>
        <rFont val="Times New Roman"/>
        <family val="1"/>
      </rPr>
      <t>1</t>
    </r>
  </si>
  <si>
    <r>
      <t>(1/(n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/n</t>
    </r>
    <r>
      <rPr>
        <vertAlign val="sub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))*(V/Vg</t>
    </r>
    <r>
      <rPr>
        <vertAlign val="subscript"/>
        <sz val="14"/>
        <color theme="1"/>
        <rFont val="Times New Roman"/>
        <family val="1"/>
      </rPr>
      <t>min</t>
    </r>
    <r>
      <rPr>
        <sz val="14"/>
        <color theme="1"/>
        <rFont val="Times New Roman"/>
        <family val="1"/>
      </rPr>
      <t>)</t>
    </r>
  </si>
  <si>
    <r>
      <t>(1/(n3/n1))*(V/Vg</t>
    </r>
    <r>
      <rPr>
        <vertAlign val="subscript"/>
        <sz val="14"/>
        <color theme="1"/>
        <rFont val="Times New Roman"/>
        <family val="1"/>
      </rPr>
      <t>max</t>
    </r>
    <r>
      <rPr>
        <sz val="14"/>
        <color theme="1"/>
        <rFont val="Times New Roman"/>
        <family val="1"/>
      </rPr>
      <t>)</t>
    </r>
  </si>
  <si>
    <t>Resistance</t>
  </si>
  <si>
    <t>R</t>
  </si>
  <si>
    <t>Ω</t>
  </si>
  <si>
    <t>H</t>
  </si>
  <si>
    <t>F</t>
  </si>
  <si>
    <t>Hz</t>
  </si>
  <si>
    <r>
      <t>((1-D</t>
    </r>
    <r>
      <rPr>
        <vertAlign val="subscript"/>
        <sz val="14"/>
        <color theme="1"/>
        <rFont val="Times New Roman"/>
        <family val="1"/>
      </rPr>
      <t>min1</t>
    </r>
    <r>
      <rPr>
        <sz val="14"/>
        <color theme="1"/>
        <rFont val="Times New Roman"/>
        <family val="1"/>
      </rPr>
      <t>)*V)/(fs*2*Δi)</t>
    </r>
  </si>
  <si>
    <r>
      <t>(2*√((2*L*f</t>
    </r>
    <r>
      <rPr>
        <vertAlign val="subscript"/>
        <sz val="14"/>
        <color theme="1"/>
        <rFont val="Times New Roman"/>
        <family val="1"/>
      </rPr>
      <t>s</t>
    </r>
    <r>
      <rPr>
        <sz val="14"/>
        <color theme="1"/>
        <rFont val="Times New Roman"/>
        <family val="1"/>
      </rPr>
      <t>)/R))/(√((2*(n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/n</t>
    </r>
    <r>
      <rPr>
        <vertAlign val="sub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)*(Vg</t>
    </r>
    <r>
      <rPr>
        <vertAlign val="subscript"/>
        <sz val="14"/>
        <color theme="1"/>
        <rFont val="Times New Roman"/>
        <family val="1"/>
      </rPr>
      <t>max</t>
    </r>
    <r>
      <rPr>
        <sz val="14"/>
        <color theme="1"/>
        <rFont val="Times New Roman"/>
        <family val="1"/>
      </rPr>
      <t>/V))-1)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-1)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</si>
</sst>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rgb="FF002060"/>
      <name val="Times New Roman"/>
      <family val="1"/>
    </font>
    <font>
      <b/>
      <sz val="18"/>
      <color rgb="FF7030A0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vertAlign val="subscript"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E635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1" fillId="3" borderId="0" xfId="0" applyFont="1" applyFill="1"/>
    <xf numFmtId="0" fontId="3" fillId="0" borderId="0" xfId="0" applyFont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1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/>
    </xf>
    <xf numFmtId="0" fontId="5" fillId="9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6" fillId="1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A86DE"/>
      <color rgb="FFEE6354"/>
      <color rgb="FF9999FF"/>
      <color rgb="FF36EED4"/>
      <color rgb="FFD969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504825</xdr:colOff>
      <xdr:row>20</xdr:row>
      <xdr:rowOff>71437</xdr:rowOff>
    </xdr:from>
    <xdr:ext cx="65" cy="172227"/>
    <xdr:sp macro="" textlink="">
      <xdr:nvSpPr>
        <xdr:cNvPr id="2" name="TextBox 1"/>
        <xdr:cNvSpPr txBox="1"/>
      </xdr:nvSpPr>
      <xdr:spPr>
        <a:xfrm>
          <a:off x="24965025" y="48815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zoomScale="79" zoomScaleNormal="83" workbookViewId="0">
      <selection activeCell="W23" sqref="W23"/>
    </sheetView>
  </sheetViews>
  <sheetFormatPr defaultRowHeight="14.4" x14ac:dyDescent="0.3"/>
  <cols>
    <col min="1" max="1" width="30" bestFit="1" customWidth="1"/>
    <col min="2" max="2" width="12.109375" customWidth="1"/>
    <col min="3" max="3" width="9.33203125" customWidth="1"/>
    <col min="4" max="4" width="7.77734375" customWidth="1"/>
    <col min="5" max="5" width="9.21875" customWidth="1"/>
    <col min="6" max="6" width="44.33203125" customWidth="1"/>
    <col min="7" max="7" width="11.77734375" customWidth="1"/>
    <col min="8" max="8" width="13.5546875" customWidth="1"/>
    <col min="9" max="9" width="9.109375" customWidth="1"/>
    <col min="10" max="10" width="8.88671875" customWidth="1"/>
    <col min="11" max="11" width="24.77734375" customWidth="1"/>
    <col min="12" max="12" width="23.109375" customWidth="1"/>
    <col min="19" max="19" width="43.77734375" customWidth="1"/>
    <col min="20" max="20" width="3.5546875" customWidth="1"/>
    <col min="21" max="21" width="40.44140625" customWidth="1"/>
    <col min="22" max="22" width="12.77734375" customWidth="1"/>
    <col min="23" max="23" width="59" customWidth="1"/>
  </cols>
  <sheetData>
    <row r="1" spans="1:22" s="1" customFormat="1" ht="33.6" customHeight="1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2" ht="19.2" customHeight="1" x14ac:dyDescent="0.4">
      <c r="A2" s="34" t="s">
        <v>2</v>
      </c>
      <c r="B2" s="34"/>
      <c r="C2" s="34"/>
      <c r="D2" s="34"/>
      <c r="F2" s="26" t="s">
        <v>16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22" ht="21" x14ac:dyDescent="0.3">
      <c r="A3" s="12" t="s">
        <v>3</v>
      </c>
      <c r="B3" s="13" t="s">
        <v>4</v>
      </c>
      <c r="C3" s="14" t="s">
        <v>5</v>
      </c>
      <c r="D3" s="15" t="s">
        <v>6</v>
      </c>
      <c r="E3" s="29"/>
      <c r="F3" s="16" t="s">
        <v>17</v>
      </c>
      <c r="G3" s="17" t="s">
        <v>4</v>
      </c>
      <c r="H3" s="18" t="s">
        <v>5</v>
      </c>
      <c r="I3" s="19" t="s">
        <v>6</v>
      </c>
      <c r="J3" s="31" t="s">
        <v>23</v>
      </c>
      <c r="K3" s="31"/>
      <c r="L3" s="31"/>
      <c r="M3" s="31"/>
      <c r="N3" s="31"/>
      <c r="O3" s="31"/>
      <c r="P3" s="31"/>
      <c r="Q3" s="31"/>
      <c r="R3" s="31"/>
      <c r="S3" s="31"/>
    </row>
    <row r="4" spans="1:22" ht="31.2" customHeight="1" x14ac:dyDescent="0.3">
      <c r="A4" s="11" t="s">
        <v>1</v>
      </c>
      <c r="B4" s="11" t="s">
        <v>40</v>
      </c>
      <c r="C4" s="3">
        <v>390</v>
      </c>
      <c r="D4" s="3" t="s">
        <v>7</v>
      </c>
      <c r="E4" s="29"/>
      <c r="F4" s="11" t="s">
        <v>18</v>
      </c>
      <c r="G4" s="11" t="s">
        <v>45</v>
      </c>
      <c r="H4" s="20">
        <v>1</v>
      </c>
      <c r="I4" s="20"/>
      <c r="J4" s="32" t="s">
        <v>24</v>
      </c>
      <c r="K4" s="32"/>
      <c r="L4" s="32"/>
      <c r="M4" s="32"/>
      <c r="N4" s="32"/>
      <c r="O4" s="32"/>
      <c r="P4" s="32"/>
      <c r="Q4" s="32"/>
      <c r="R4" s="32"/>
      <c r="S4" s="32"/>
    </row>
    <row r="5" spans="1:22" ht="29.4" customHeight="1" x14ac:dyDescent="0.3">
      <c r="A5" s="11" t="s">
        <v>8</v>
      </c>
      <c r="B5" s="11" t="s">
        <v>41</v>
      </c>
      <c r="C5" s="3">
        <v>260</v>
      </c>
      <c r="D5" s="3" t="s">
        <v>7</v>
      </c>
      <c r="E5" s="29"/>
      <c r="F5" s="11" t="s">
        <v>19</v>
      </c>
      <c r="G5" s="11" t="s">
        <v>46</v>
      </c>
      <c r="H5" s="3">
        <v>0.125</v>
      </c>
      <c r="I5" s="3"/>
      <c r="J5" s="30"/>
      <c r="K5" s="30"/>
      <c r="L5" s="30"/>
      <c r="M5" s="30"/>
      <c r="N5" s="30"/>
      <c r="O5" s="30"/>
      <c r="P5" s="30"/>
      <c r="Q5" s="30"/>
      <c r="R5" s="30"/>
      <c r="S5" s="30"/>
    </row>
    <row r="6" spans="1:22" ht="22.2" customHeight="1" x14ac:dyDescent="0.3">
      <c r="A6" s="11" t="s">
        <v>9</v>
      </c>
      <c r="B6" s="11" t="s">
        <v>7</v>
      </c>
      <c r="C6" s="3">
        <v>15</v>
      </c>
      <c r="D6" s="3" t="s">
        <v>7</v>
      </c>
      <c r="E6" s="29"/>
      <c r="F6" s="11" t="s">
        <v>20</v>
      </c>
      <c r="G6" s="11" t="s">
        <v>21</v>
      </c>
      <c r="H6" s="3">
        <v>2</v>
      </c>
      <c r="I6" s="3" t="s">
        <v>22</v>
      </c>
      <c r="J6" s="30" t="s">
        <v>25</v>
      </c>
      <c r="K6" s="30"/>
      <c r="L6" s="30"/>
      <c r="M6" s="30"/>
      <c r="N6" s="30"/>
      <c r="O6" s="30"/>
      <c r="P6" s="30"/>
      <c r="Q6" s="30"/>
      <c r="R6" s="30"/>
      <c r="S6" s="30"/>
    </row>
    <row r="7" spans="1:22" ht="23.4" customHeight="1" x14ac:dyDescent="0.3">
      <c r="A7" s="11" t="s">
        <v>10</v>
      </c>
      <c r="B7" s="11" t="s">
        <v>42</v>
      </c>
      <c r="C7" s="3">
        <v>200</v>
      </c>
      <c r="D7" s="3" t="s">
        <v>11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</row>
    <row r="8" spans="1:22" ht="25.8" customHeight="1" x14ac:dyDescent="0.3">
      <c r="A8" s="11" t="s">
        <v>12</v>
      </c>
      <c r="B8" s="11" t="s">
        <v>43</v>
      </c>
      <c r="C8" s="3">
        <v>20</v>
      </c>
      <c r="D8" s="3" t="s">
        <v>11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2" ht="22.8" customHeight="1" x14ac:dyDescent="0.3">
      <c r="A9" s="11" t="s">
        <v>13</v>
      </c>
      <c r="B9" s="11" t="s">
        <v>44</v>
      </c>
      <c r="C9" s="3">
        <v>100000</v>
      </c>
      <c r="D9" s="3" t="s">
        <v>54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spans="1:22" ht="24" customHeight="1" x14ac:dyDescent="0.4">
      <c r="A10" s="11" t="s">
        <v>14</v>
      </c>
      <c r="B10" s="11" t="s">
        <v>15</v>
      </c>
      <c r="C10" s="3">
        <v>0.1</v>
      </c>
      <c r="D10" s="3" t="s">
        <v>7</v>
      </c>
      <c r="E10" s="29"/>
      <c r="F10" s="26" t="s">
        <v>26</v>
      </c>
      <c r="G10" s="26"/>
      <c r="H10" s="26"/>
      <c r="I10" s="26"/>
      <c r="U10" s="4"/>
    </row>
    <row r="11" spans="1:22" ht="21" x14ac:dyDescent="0.35">
      <c r="A11" s="11" t="s">
        <v>49</v>
      </c>
      <c r="B11" s="11" t="s">
        <v>50</v>
      </c>
      <c r="C11" s="6">
        <f>V^2/Ploadmin</f>
        <v>11.25</v>
      </c>
      <c r="D11" s="3" t="s">
        <v>51</v>
      </c>
      <c r="E11" s="29"/>
      <c r="F11" s="21" t="s">
        <v>3</v>
      </c>
      <c r="G11" s="22" t="s">
        <v>4</v>
      </c>
      <c r="H11" s="23" t="s">
        <v>5</v>
      </c>
      <c r="I11" s="24" t="s">
        <v>6</v>
      </c>
      <c r="V11" s="4"/>
    </row>
    <row r="12" spans="1:22" ht="27.6" customHeight="1" x14ac:dyDescent="0.3">
      <c r="E12" s="29"/>
      <c r="F12" s="11" t="s">
        <v>27</v>
      </c>
      <c r="G12" s="11" t="s">
        <v>37</v>
      </c>
      <c r="H12" s="20">
        <f>(1/(n3_n1))*(V/Vgmin)</f>
        <v>0.46153846153846156</v>
      </c>
      <c r="I12" s="20"/>
    </row>
    <row r="13" spans="1:22" ht="27.6" customHeight="1" x14ac:dyDescent="0.3">
      <c r="E13" s="29"/>
      <c r="F13" s="11" t="s">
        <v>35</v>
      </c>
      <c r="G13" s="11" t="s">
        <v>38</v>
      </c>
      <c r="H13" s="20">
        <f>(1/(n3_n1))*(V/Vgmax)</f>
        <v>0.30769230769230771</v>
      </c>
      <c r="I13" s="20"/>
    </row>
    <row r="14" spans="1:22" ht="31.8" customHeight="1" x14ac:dyDescent="0.3">
      <c r="E14" s="29"/>
      <c r="F14" s="11" t="s">
        <v>36</v>
      </c>
      <c r="G14" s="11" t="s">
        <v>39</v>
      </c>
      <c r="H14" s="20">
        <f>(2*((2*L*fs)/R_)^(1/2))/(((2*(n3_n1)*(Vgmax/V))-1)^2-1)^(1/2)</f>
        <v>0.25122971720853104</v>
      </c>
      <c r="I14" s="20"/>
    </row>
    <row r="15" spans="1:22" ht="21.6" customHeight="1" x14ac:dyDescent="0.3">
      <c r="E15" s="29"/>
      <c r="F15" s="11" t="s">
        <v>28</v>
      </c>
      <c r="G15" s="11" t="s">
        <v>29</v>
      </c>
      <c r="H15" s="20">
        <f>((1-Dmin1)*V)/(fs*2*Δi)</f>
        <v>2.5961538461538464E-5</v>
      </c>
      <c r="I15" s="25" t="s">
        <v>52</v>
      </c>
    </row>
    <row r="16" spans="1:22" ht="25.2" customHeight="1" x14ac:dyDescent="0.3">
      <c r="E16" s="29"/>
      <c r="F16" s="11" t="s">
        <v>30</v>
      </c>
      <c r="G16" s="11" t="s">
        <v>31</v>
      </c>
      <c r="H16" s="20">
        <f>Δi/(8*Δv*fs)</f>
        <v>2.5000000000000001E-5</v>
      </c>
      <c r="I16" s="20" t="s">
        <v>53</v>
      </c>
      <c r="U16" s="5"/>
      <c r="V16" s="5"/>
    </row>
    <row r="17" spans="21:25" ht="25.8" customHeight="1" x14ac:dyDescent="0.4">
      <c r="U17" s="27" t="s">
        <v>32</v>
      </c>
      <c r="V17" s="27"/>
      <c r="W17" s="27"/>
      <c r="X17" s="27"/>
      <c r="Y17" s="27"/>
    </row>
    <row r="18" spans="21:25" ht="21.6" customHeight="1" x14ac:dyDescent="0.4">
      <c r="U18" s="8" t="s">
        <v>3</v>
      </c>
      <c r="V18" s="9" t="s">
        <v>4</v>
      </c>
      <c r="W18" s="10" t="s">
        <v>33</v>
      </c>
      <c r="X18" s="28"/>
      <c r="Y18" s="28"/>
    </row>
    <row r="19" spans="21:25" ht="31.2" customHeight="1" x14ac:dyDescent="0.45">
      <c r="U19" s="2" t="s">
        <v>27</v>
      </c>
      <c r="V19" s="11" t="s">
        <v>37</v>
      </c>
      <c r="W19" s="7" t="s">
        <v>47</v>
      </c>
      <c r="X19" s="28"/>
      <c r="Y19" s="28"/>
    </row>
    <row r="20" spans="21:25" ht="25.8" customHeight="1" x14ac:dyDescent="0.45">
      <c r="U20" s="11" t="s">
        <v>35</v>
      </c>
      <c r="V20" s="11" t="s">
        <v>38</v>
      </c>
      <c r="W20" s="7" t="s">
        <v>48</v>
      </c>
      <c r="X20" s="28"/>
      <c r="Y20" s="28"/>
    </row>
    <row r="21" spans="21:25" ht="25.8" customHeight="1" x14ac:dyDescent="0.45">
      <c r="U21" s="11" t="s">
        <v>36</v>
      </c>
      <c r="V21" s="11" t="s">
        <v>39</v>
      </c>
      <c r="W21" s="7" t="s">
        <v>56</v>
      </c>
      <c r="X21" s="28"/>
      <c r="Y21" s="28"/>
    </row>
    <row r="22" spans="21:25" ht="23.4" customHeight="1" x14ac:dyDescent="0.45">
      <c r="U22" s="11" t="s">
        <v>28</v>
      </c>
      <c r="V22" s="11" t="s">
        <v>29</v>
      </c>
      <c r="W22" s="7" t="s">
        <v>55</v>
      </c>
      <c r="X22" s="28"/>
      <c r="Y22" s="28"/>
    </row>
    <row r="23" spans="21:25" ht="27" customHeight="1" x14ac:dyDescent="0.35">
      <c r="U23" s="11" t="s">
        <v>30</v>
      </c>
      <c r="V23" s="11" t="s">
        <v>31</v>
      </c>
      <c r="W23" s="7" t="s">
        <v>34</v>
      </c>
      <c r="X23" s="28"/>
      <c r="Y23" s="28"/>
    </row>
  </sheetData>
  <mergeCells count="12">
    <mergeCell ref="A1:U1"/>
    <mergeCell ref="A2:D2"/>
    <mergeCell ref="F2:S2"/>
    <mergeCell ref="F10:I10"/>
    <mergeCell ref="U17:Y17"/>
    <mergeCell ref="X18:Y23"/>
    <mergeCell ref="E3:E16"/>
    <mergeCell ref="J6:S6"/>
    <mergeCell ref="J5:S5"/>
    <mergeCell ref="J3:S3"/>
    <mergeCell ref="J4:S4"/>
    <mergeCell ref="F7:S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C_</vt:lpstr>
      <vt:lpstr>Dmin1</vt:lpstr>
      <vt:lpstr>fs</vt:lpstr>
      <vt:lpstr>L</vt:lpstr>
      <vt:lpstr>n</vt:lpstr>
      <vt:lpstr>n2_n1</vt:lpstr>
      <vt:lpstr>n3_n1</vt:lpstr>
      <vt:lpstr>Ploadmax</vt:lpstr>
      <vt:lpstr>Ploadmin</vt:lpstr>
      <vt:lpstr>R_</vt:lpstr>
      <vt:lpstr>V</vt:lpstr>
      <vt:lpstr>Vgmax</vt:lpstr>
      <vt:lpstr>Vgmin</vt:lpstr>
      <vt:lpstr>Δi</vt:lpstr>
      <vt:lpstr>Δv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2022-12-26T13:51:15Z</dcterms:created>
  <dcterms:modified xsi:type="dcterms:W3CDTF">2022-12-27T04:30:37Z</dcterms:modified>
</cp:coreProperties>
</file>